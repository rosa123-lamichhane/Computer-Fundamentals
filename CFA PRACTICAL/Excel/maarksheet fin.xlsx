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FA PRACTICAL\fina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M8" i="1"/>
  <c r="L8" i="1"/>
  <c r="K8" i="1"/>
  <c r="J8" i="1"/>
  <c r="I8" i="1"/>
  <c r="L11" i="1"/>
  <c r="K9" i="1"/>
  <c r="N9" i="1" s="1"/>
  <c r="K10" i="1"/>
  <c r="N10" i="1" s="1"/>
  <c r="K11" i="1"/>
  <c r="N11" i="1" s="1"/>
  <c r="K12" i="1"/>
  <c r="N12" i="1" s="1"/>
  <c r="K13" i="1"/>
  <c r="K14" i="1"/>
  <c r="K15" i="1"/>
  <c r="N15" i="1" s="1"/>
  <c r="K16" i="1"/>
  <c r="N16" i="1" s="1"/>
  <c r="K17" i="1"/>
  <c r="N17" i="1" s="1"/>
  <c r="J16" i="1"/>
  <c r="I9" i="1"/>
  <c r="J9" i="1" s="1"/>
  <c r="I10" i="1"/>
  <c r="J10" i="1" s="1"/>
  <c r="L10" i="1" s="1"/>
  <c r="I11" i="1"/>
  <c r="J11" i="1" s="1"/>
  <c r="I12" i="1"/>
  <c r="J12" i="1" s="1"/>
  <c r="L12" i="1" s="1"/>
  <c r="I13" i="1"/>
  <c r="J13" i="1" s="1"/>
  <c r="I14" i="1"/>
  <c r="J14" i="1" s="1"/>
  <c r="I15" i="1"/>
  <c r="J15" i="1" s="1"/>
  <c r="M15" i="1" s="1"/>
  <c r="I16" i="1"/>
  <c r="I17" i="1"/>
  <c r="J17" i="1" s="1"/>
  <c r="M17" i="1" s="1"/>
  <c r="M14" i="1" l="1"/>
  <c r="L17" i="1"/>
  <c r="L15" i="1"/>
  <c r="M11" i="1"/>
  <c r="L16" i="1"/>
  <c r="L14" i="1"/>
  <c r="L9" i="1"/>
  <c r="L13" i="1"/>
  <c r="M13" i="1"/>
  <c r="M12" i="1"/>
  <c r="M10" i="1"/>
  <c r="M16" i="1"/>
  <c r="N14" i="1"/>
  <c r="M9" i="1"/>
  <c r="N13" i="1"/>
</calcChain>
</file>

<file path=xl/sharedStrings.xml><?xml version="1.0" encoding="utf-8"?>
<sst xmlns="http://schemas.openxmlformats.org/spreadsheetml/2006/main" count="31" uniqueCount="31">
  <si>
    <t>S.N</t>
  </si>
  <si>
    <t xml:space="preserve">Name </t>
  </si>
  <si>
    <t>English</t>
  </si>
  <si>
    <t>Math</t>
  </si>
  <si>
    <t>Science</t>
  </si>
  <si>
    <t>Nepali</t>
  </si>
  <si>
    <t>Account</t>
  </si>
  <si>
    <t>Result</t>
  </si>
  <si>
    <t>Percentage</t>
  </si>
  <si>
    <t>Division</t>
  </si>
  <si>
    <t>Rank</t>
  </si>
  <si>
    <t>Remarks</t>
  </si>
  <si>
    <t>samix</t>
  </si>
  <si>
    <t>Suraj</t>
  </si>
  <si>
    <t>Sukarat</t>
  </si>
  <si>
    <t>Pramod</t>
  </si>
  <si>
    <t>Pranita</t>
  </si>
  <si>
    <t>Dinesh</t>
  </si>
  <si>
    <t>Kapil</t>
  </si>
  <si>
    <t>Anil</t>
  </si>
  <si>
    <t>Sunil</t>
  </si>
  <si>
    <t>Ganesh</t>
  </si>
  <si>
    <t>Subjects</t>
  </si>
  <si>
    <t>Used Formula</t>
  </si>
  <si>
    <t>Total Marks</t>
  </si>
  <si>
    <t>Total Marks :=SUM(D8:H8)</t>
  </si>
  <si>
    <t>Percentage : =I8/5</t>
  </si>
  <si>
    <t>Result  :   =IF(AND(D8&gt;=35,E8&gt;=35,F8&gt;=35,G8&gt;=35,H8&gt;=35),"Pass"," Fail")</t>
  </si>
  <si>
    <t>Division :       =IF(K8="Pass",IF(J8&gt;=80%,"Distinction",IF(J8&gt;=60%,"1st Division",IF(J8&gt;=45%,"2nd division",IF(J8&gt;=35%,"3rd Division")))), "Sorry" )</t>
  </si>
  <si>
    <t>Rank :      =RANK(J8,J8:J17)</t>
  </si>
  <si>
    <t xml:space="preserve">Remarks:    =IF(K8="Pass"," ","*")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</si>
</sst>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601980</xdr:colOff>
      <xdr:row>0</xdr:row>
      <xdr:rowOff>0</xdr:rowOff>
    </xdr:from>
    <xdr:ext cx="5737860" cy="718466"/>
    <xdr:sp macro="" textlink="">
      <xdr:nvSpPr>
        <xdr:cNvPr id="2" name="TextBox 1"/>
        <xdr:cNvSpPr txBox="1"/>
      </xdr:nvSpPr>
      <xdr:spPr>
        <a:xfrm>
          <a:off x="1821180" y="0"/>
          <a:ext cx="5737860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4000" b="1" u="sng"/>
            <a:t>Marks</a:t>
          </a:r>
          <a:r>
            <a:rPr lang="en-US" sz="4000" b="1" u="sng" baseline="0"/>
            <a:t>    Ledger </a:t>
          </a:r>
          <a:endParaRPr lang="en-US" sz="4000" b="1" u="sng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6"/>
  <sheetViews>
    <sheetView tabSelected="1" workbookViewId="0">
      <selection activeCell="O4" sqref="O4"/>
    </sheetView>
  </sheetViews>
  <sheetFormatPr defaultRowHeight="14.4" x14ac:dyDescent="0.3"/>
  <cols>
    <col min="6" max="6" width="9.109375" customWidth="1"/>
    <col min="9" max="9" width="12.33203125" customWidth="1"/>
    <col min="10" max="10" width="14.33203125" customWidth="1"/>
    <col min="11" max="11" width="13" customWidth="1"/>
    <col min="12" max="12" width="14.77734375" customWidth="1"/>
    <col min="13" max="13" width="9.88671875" customWidth="1"/>
    <col min="14" max="14" width="11.6640625" customWidth="1"/>
  </cols>
  <sheetData>
    <row r="1" spans="2:14" x14ac:dyDescent="0.3">
      <c r="C1" s="4"/>
      <c r="D1" s="4"/>
      <c r="E1" s="4"/>
      <c r="F1" s="4"/>
      <c r="G1" s="4"/>
      <c r="H1" s="4"/>
      <c r="I1" s="4"/>
      <c r="J1" s="4"/>
      <c r="K1" s="4"/>
      <c r="L1" s="4"/>
    </row>
    <row r="2" spans="2:14" x14ac:dyDescent="0.3">
      <c r="C2" s="4"/>
      <c r="D2" s="4"/>
      <c r="E2" s="4"/>
      <c r="F2" s="4"/>
      <c r="G2" s="4"/>
      <c r="H2" s="4"/>
      <c r="I2" s="4"/>
      <c r="J2" s="4"/>
      <c r="K2" s="4"/>
      <c r="L2" s="4"/>
    </row>
    <row r="3" spans="2:14" x14ac:dyDescent="0.3">
      <c r="C3" s="4"/>
      <c r="D3" s="4"/>
      <c r="E3" s="4"/>
      <c r="F3" s="4"/>
      <c r="G3" s="4"/>
      <c r="H3" s="4"/>
      <c r="I3" s="4"/>
      <c r="J3" s="4"/>
      <c r="K3" s="4"/>
      <c r="L3" s="4"/>
    </row>
    <row r="4" spans="2:14" x14ac:dyDescent="0.3">
      <c r="C4" s="5"/>
      <c r="D4" s="5"/>
      <c r="E4" s="5"/>
      <c r="F4" s="5"/>
      <c r="G4" s="5"/>
      <c r="H4" s="5"/>
      <c r="I4" s="5"/>
      <c r="J4" s="5"/>
      <c r="K4" s="5"/>
      <c r="L4" s="5"/>
    </row>
    <row r="6" spans="2:14" ht="14.4" customHeight="1" x14ac:dyDescent="0.35">
      <c r="B6" s="6" t="s">
        <v>0</v>
      </c>
      <c r="C6" s="6" t="s">
        <v>1</v>
      </c>
      <c r="D6" s="6" t="s">
        <v>22</v>
      </c>
      <c r="E6" s="6"/>
      <c r="F6" s="6"/>
      <c r="G6" s="6"/>
      <c r="H6" s="6"/>
      <c r="I6" s="6" t="s">
        <v>24</v>
      </c>
      <c r="J6" s="6" t="s">
        <v>8</v>
      </c>
      <c r="K6" s="6" t="s">
        <v>7</v>
      </c>
      <c r="L6" s="6" t="s">
        <v>9</v>
      </c>
      <c r="M6" s="6" t="s">
        <v>10</v>
      </c>
      <c r="N6" s="6" t="s">
        <v>11</v>
      </c>
    </row>
    <row r="7" spans="2:14" ht="18" x14ac:dyDescent="0.35">
      <c r="B7" s="6"/>
      <c r="C7" s="6"/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6"/>
      <c r="J7" s="6"/>
      <c r="K7" s="6"/>
      <c r="L7" s="6"/>
      <c r="M7" s="6"/>
      <c r="N7" s="6"/>
    </row>
    <row r="8" spans="2:14" ht="18" x14ac:dyDescent="0.35">
      <c r="B8" s="3">
        <v>1</v>
      </c>
      <c r="C8" s="3" t="s">
        <v>12</v>
      </c>
      <c r="D8" s="3">
        <v>78</v>
      </c>
      <c r="E8" s="3">
        <v>56</v>
      </c>
      <c r="F8" s="3">
        <v>23</v>
      </c>
      <c r="G8" s="3">
        <v>45</v>
      </c>
      <c r="H8" s="3">
        <v>54</v>
      </c>
      <c r="I8" s="3">
        <f>SUM(D8:H8)</f>
        <v>256</v>
      </c>
      <c r="J8" s="3">
        <f>I8/5</f>
        <v>51.2</v>
      </c>
      <c r="K8" s="3" t="str">
        <f>IF(AND(D8&gt;=35,E8&gt;=35,F8&gt;=35,G8&gt;=35,H8&gt;=35),"Pass"," Fail")</f>
        <v xml:space="preserve"> Fail</v>
      </c>
      <c r="L8" s="3" t="str">
        <f>IF(K8="Pass",IF(J8&gt;=80%,"Distinction",IF(J8&gt;=60%,"1st Division",IF(J8&gt;=45%,"2nd division",IF(J8&gt;=35%,"3rd Division")))), "Sorry" )</f>
        <v>Sorry</v>
      </c>
      <c r="M8" s="3">
        <f>RANK(J8,J8:J17)</f>
        <v>8</v>
      </c>
      <c r="N8" s="3" t="str">
        <f>IF(K8="Pass"," ","*")</f>
        <v>*</v>
      </c>
    </row>
    <row r="9" spans="2:14" ht="18" x14ac:dyDescent="0.35">
      <c r="B9" s="3">
        <v>2</v>
      </c>
      <c r="C9" s="3" t="s">
        <v>13</v>
      </c>
      <c r="D9" s="3">
        <v>89</v>
      </c>
      <c r="E9" s="3">
        <v>65</v>
      </c>
      <c r="F9" s="3">
        <v>78</v>
      </c>
      <c r="G9" s="3">
        <v>68</v>
      </c>
      <c r="H9" s="3">
        <v>90</v>
      </c>
      <c r="I9" s="3">
        <f t="shared" ref="I9:I17" si="0">SUM(D9:H9)</f>
        <v>390</v>
      </c>
      <c r="J9" s="3">
        <f t="shared" ref="J9:J17" si="1">I9/5</f>
        <v>78</v>
      </c>
      <c r="K9" s="3" t="str">
        <f t="shared" ref="K9:K17" si="2">IF(AND(D9&gt;=35,E9&gt;=35,F9&gt;=35,G9&gt;=35,H9&gt;=35),"Pass"," Fail")</f>
        <v>Pass</v>
      </c>
      <c r="L9" s="3" t="str">
        <f t="shared" ref="L9:L17" si="3">IF(K9="Pass",IF(J9&gt;=80%,"Distinction",IF(J9&gt;=60%,"1st Division",IF(J9&gt;=45%,"2nd division",IF(J9&gt;=35%,"3rd Division")))), "Sorry" )</f>
        <v>Distinction</v>
      </c>
      <c r="M9" s="3">
        <f>RANK(J9,J9:J17)</f>
        <v>3</v>
      </c>
      <c r="N9" s="3" t="str">
        <f t="shared" ref="N9:N17" si="4">IF(K9="Pass"," ","*")</f>
        <v xml:space="preserve"> </v>
      </c>
    </row>
    <row r="10" spans="2:14" ht="18" x14ac:dyDescent="0.35">
      <c r="B10" s="3">
        <v>3</v>
      </c>
      <c r="C10" s="3" t="s">
        <v>14</v>
      </c>
      <c r="D10" s="3">
        <v>78</v>
      </c>
      <c r="E10" s="3">
        <v>98</v>
      </c>
      <c r="F10" s="3">
        <v>89</v>
      </c>
      <c r="G10" s="3">
        <v>75</v>
      </c>
      <c r="H10" s="3">
        <v>89</v>
      </c>
      <c r="I10" s="3">
        <f t="shared" si="0"/>
        <v>429</v>
      </c>
      <c r="J10" s="3">
        <f t="shared" si="1"/>
        <v>85.8</v>
      </c>
      <c r="K10" s="3" t="str">
        <f t="shared" si="2"/>
        <v>Pass</v>
      </c>
      <c r="L10" s="3" t="str">
        <f t="shared" si="3"/>
        <v>Distinction</v>
      </c>
      <c r="M10" s="3">
        <f>RANK(J10,J10:J17)</f>
        <v>2</v>
      </c>
      <c r="N10" s="3" t="str">
        <f t="shared" si="4"/>
        <v xml:space="preserve"> </v>
      </c>
    </row>
    <row r="11" spans="2:14" ht="18" x14ac:dyDescent="0.35">
      <c r="B11" s="3">
        <v>4</v>
      </c>
      <c r="C11" s="3" t="s">
        <v>15</v>
      </c>
      <c r="D11" s="3">
        <v>56</v>
      </c>
      <c r="E11" s="3">
        <v>56</v>
      </c>
      <c r="F11" s="3">
        <v>32</v>
      </c>
      <c r="G11" s="3">
        <v>23</v>
      </c>
      <c r="H11" s="3">
        <v>54</v>
      </c>
      <c r="I11" s="3">
        <f t="shared" si="0"/>
        <v>221</v>
      </c>
      <c r="J11" s="3">
        <f t="shared" si="1"/>
        <v>44.2</v>
      </c>
      <c r="K11" s="3" t="str">
        <f t="shared" si="2"/>
        <v xml:space="preserve"> Fail</v>
      </c>
      <c r="L11" s="3" t="str">
        <f t="shared" si="3"/>
        <v>Sorry</v>
      </c>
      <c r="M11" s="3">
        <f>RANK(J11,J11:J17)</f>
        <v>6</v>
      </c>
      <c r="N11" s="3" t="str">
        <f t="shared" si="4"/>
        <v>*</v>
      </c>
    </row>
    <row r="12" spans="2:14" ht="18" x14ac:dyDescent="0.35">
      <c r="B12" s="3">
        <v>5</v>
      </c>
      <c r="C12" s="3" t="s">
        <v>16</v>
      </c>
      <c r="D12" s="3">
        <v>65</v>
      </c>
      <c r="E12" s="3">
        <v>65</v>
      </c>
      <c r="F12" s="3">
        <v>78</v>
      </c>
      <c r="G12" s="3">
        <v>68</v>
      </c>
      <c r="H12" s="3">
        <v>90</v>
      </c>
      <c r="I12" s="3">
        <f t="shared" si="0"/>
        <v>366</v>
      </c>
      <c r="J12" s="3">
        <f t="shared" si="1"/>
        <v>73.2</v>
      </c>
      <c r="K12" s="3" t="str">
        <f t="shared" si="2"/>
        <v>Pass</v>
      </c>
      <c r="L12" s="3" t="str">
        <f t="shared" si="3"/>
        <v>Distinction</v>
      </c>
      <c r="M12" s="3">
        <f>RANK(J12,J12:J18)</f>
        <v>2</v>
      </c>
      <c r="N12" s="3" t="str">
        <f t="shared" si="4"/>
        <v xml:space="preserve"> </v>
      </c>
    </row>
    <row r="13" spans="2:14" ht="18" x14ac:dyDescent="0.35">
      <c r="B13" s="3">
        <v>6</v>
      </c>
      <c r="C13" s="3" t="s">
        <v>17</v>
      </c>
      <c r="D13" s="3">
        <v>98</v>
      </c>
      <c r="E13" s="3">
        <v>89</v>
      </c>
      <c r="F13" s="3">
        <v>75</v>
      </c>
      <c r="G13" s="3">
        <v>89</v>
      </c>
      <c r="H13" s="3">
        <v>90</v>
      </c>
      <c r="I13" s="3">
        <f t="shared" si="0"/>
        <v>441</v>
      </c>
      <c r="J13" s="3">
        <f t="shared" si="1"/>
        <v>88.2</v>
      </c>
      <c r="K13" s="3" t="str">
        <f t="shared" si="2"/>
        <v>Pass</v>
      </c>
      <c r="L13" s="3" t="str">
        <f t="shared" si="3"/>
        <v>Distinction</v>
      </c>
      <c r="M13" s="3">
        <f>RANK(J13,J13:J19)</f>
        <v>1</v>
      </c>
      <c r="N13" s="3" t="str">
        <f t="shared" si="4"/>
        <v xml:space="preserve"> </v>
      </c>
    </row>
    <row r="14" spans="2:14" ht="18" x14ac:dyDescent="0.35">
      <c r="B14" s="3">
        <v>7</v>
      </c>
      <c r="C14" s="3" t="s">
        <v>18</v>
      </c>
      <c r="D14" s="3">
        <v>35</v>
      </c>
      <c r="E14" s="3">
        <v>35</v>
      </c>
      <c r="F14" s="3">
        <v>68</v>
      </c>
      <c r="G14" s="3">
        <v>35</v>
      </c>
      <c r="H14" s="3">
        <v>45</v>
      </c>
      <c r="I14" s="3">
        <f t="shared" si="0"/>
        <v>218</v>
      </c>
      <c r="J14" s="3">
        <f t="shared" si="1"/>
        <v>43.6</v>
      </c>
      <c r="K14" s="3" t="str">
        <f t="shared" si="2"/>
        <v>Pass</v>
      </c>
      <c r="L14" s="3" t="str">
        <f t="shared" si="3"/>
        <v>Distinction</v>
      </c>
      <c r="M14" s="3">
        <f>RANK(J14,J14:J20)</f>
        <v>4</v>
      </c>
      <c r="N14" s="3" t="str">
        <f t="shared" si="4"/>
        <v xml:space="preserve"> </v>
      </c>
    </row>
    <row r="15" spans="2:14" ht="18" x14ac:dyDescent="0.35">
      <c r="B15" s="3">
        <v>8</v>
      </c>
      <c r="C15" s="3" t="s">
        <v>19</v>
      </c>
      <c r="D15" s="3">
        <v>78</v>
      </c>
      <c r="E15" s="3">
        <v>56</v>
      </c>
      <c r="F15" s="3">
        <v>56</v>
      </c>
      <c r="G15" s="3">
        <v>23</v>
      </c>
      <c r="H15" s="3">
        <v>45</v>
      </c>
      <c r="I15" s="3">
        <f t="shared" si="0"/>
        <v>258</v>
      </c>
      <c r="J15" s="3">
        <f t="shared" si="1"/>
        <v>51.6</v>
      </c>
      <c r="K15" s="3" t="str">
        <f t="shared" si="2"/>
        <v xml:space="preserve"> Fail</v>
      </c>
      <c r="L15" s="3" t="str">
        <f t="shared" si="3"/>
        <v>Sorry</v>
      </c>
      <c r="M15" s="3">
        <f>RANK(J15,J15:J21)</f>
        <v>3</v>
      </c>
      <c r="N15" s="3" t="str">
        <f t="shared" si="4"/>
        <v>*</v>
      </c>
    </row>
    <row r="16" spans="2:14" ht="18" x14ac:dyDescent="0.35">
      <c r="B16" s="3">
        <v>9</v>
      </c>
      <c r="C16" s="3" t="s">
        <v>20</v>
      </c>
      <c r="D16" s="3">
        <v>38</v>
      </c>
      <c r="E16" s="3">
        <v>54</v>
      </c>
      <c r="F16" s="3">
        <v>78</v>
      </c>
      <c r="G16" s="3">
        <v>36</v>
      </c>
      <c r="H16" s="3">
        <v>90</v>
      </c>
      <c r="I16" s="3">
        <f t="shared" si="0"/>
        <v>296</v>
      </c>
      <c r="J16" s="3">
        <f t="shared" si="1"/>
        <v>59.2</v>
      </c>
      <c r="K16" s="3" t="str">
        <f t="shared" si="2"/>
        <v>Pass</v>
      </c>
      <c r="L16" s="3" t="str">
        <f t="shared" si="3"/>
        <v>Distinction</v>
      </c>
      <c r="M16" s="3">
        <f>RANK(J16,J16:J22)</f>
        <v>1</v>
      </c>
      <c r="N16" s="3" t="str">
        <f t="shared" si="4"/>
        <v xml:space="preserve"> </v>
      </c>
    </row>
    <row r="17" spans="2:17" ht="18" x14ac:dyDescent="0.35">
      <c r="B17" s="3">
        <v>10</v>
      </c>
      <c r="C17" s="3" t="s">
        <v>21</v>
      </c>
      <c r="D17" s="3">
        <v>78</v>
      </c>
      <c r="E17" s="3">
        <v>54</v>
      </c>
      <c r="F17" s="3">
        <v>56</v>
      </c>
      <c r="G17" s="3">
        <v>56</v>
      </c>
      <c r="H17" s="3">
        <v>23</v>
      </c>
      <c r="I17" s="3">
        <f t="shared" si="0"/>
        <v>267</v>
      </c>
      <c r="J17" s="3">
        <f t="shared" si="1"/>
        <v>53.4</v>
      </c>
      <c r="K17" s="3" t="str">
        <f t="shared" si="2"/>
        <v xml:space="preserve"> Fail</v>
      </c>
      <c r="L17" s="3" t="str">
        <f t="shared" si="3"/>
        <v>Sorry</v>
      </c>
      <c r="M17" s="3">
        <f>RANK(J17,J17:J23)</f>
        <v>1</v>
      </c>
      <c r="N17" s="3" t="str">
        <f t="shared" si="4"/>
        <v>*</v>
      </c>
    </row>
    <row r="20" spans="2:17" ht="18" x14ac:dyDescent="0.35">
      <c r="G20" s="1" t="s">
        <v>23</v>
      </c>
      <c r="H20" s="1"/>
    </row>
    <row r="21" spans="2:17" x14ac:dyDescent="0.3">
      <c r="G21" s="7" t="s">
        <v>25</v>
      </c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2:17" x14ac:dyDescent="0.3">
      <c r="G22" s="7" t="s">
        <v>26</v>
      </c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2:17" x14ac:dyDescent="0.3">
      <c r="G23" s="7" t="s">
        <v>27</v>
      </c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2:17" x14ac:dyDescent="0.3">
      <c r="G24" s="7" t="s">
        <v>28</v>
      </c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2:17" x14ac:dyDescent="0.3">
      <c r="G25" s="7" t="s">
        <v>29</v>
      </c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2:17" x14ac:dyDescent="0.3">
      <c r="G26" s="7" t="s">
        <v>30</v>
      </c>
      <c r="H26" s="7"/>
      <c r="I26" s="7"/>
      <c r="J26" s="7"/>
      <c r="K26" s="7"/>
      <c r="L26" s="7"/>
      <c r="M26" s="7"/>
      <c r="N26" s="7"/>
      <c r="O26" s="7"/>
      <c r="P26" s="7"/>
      <c r="Q26" s="7"/>
    </row>
  </sheetData>
  <mergeCells count="10">
    <mergeCell ref="M6:M7"/>
    <mergeCell ref="N6:N7"/>
    <mergeCell ref="C1:L4"/>
    <mergeCell ref="B6:B7"/>
    <mergeCell ref="C6:C7"/>
    <mergeCell ref="D6:H6"/>
    <mergeCell ref="I6:I7"/>
    <mergeCell ref="J6:J7"/>
    <mergeCell ref="K6:K7"/>
    <mergeCell ref="L6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COMPUTER SYSTEM</dc:creator>
  <cp:lastModifiedBy>STAR COMPUTER SYSTEM</cp:lastModifiedBy>
  <dcterms:created xsi:type="dcterms:W3CDTF">2025-03-03T06:22:47Z</dcterms:created>
  <dcterms:modified xsi:type="dcterms:W3CDTF">2025-03-03T06:59:35Z</dcterms:modified>
</cp:coreProperties>
</file>