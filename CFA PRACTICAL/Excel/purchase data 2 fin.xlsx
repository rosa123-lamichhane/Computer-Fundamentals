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FA PRACTICA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K6" i="1"/>
  <c r="J6" i="1"/>
  <c r="H6" i="1"/>
  <c r="G6" i="1"/>
  <c r="I15" i="1" l="1"/>
  <c r="H12" i="1"/>
  <c r="H15" i="1"/>
  <c r="G7" i="1"/>
  <c r="G8" i="1"/>
  <c r="I8" i="1" s="1"/>
  <c r="G9" i="1"/>
  <c r="J9" i="1" s="1"/>
  <c r="G10" i="1"/>
  <c r="J10" i="1" s="1"/>
  <c r="G11" i="1"/>
  <c r="I11" i="1" s="1"/>
  <c r="G12" i="1"/>
  <c r="G13" i="1"/>
  <c r="H13" i="1" s="1"/>
  <c r="G14" i="1"/>
  <c r="I14" i="1" s="1"/>
  <c r="G15" i="1"/>
  <c r="I10" i="1" l="1"/>
  <c r="I7" i="1"/>
  <c r="H11" i="1"/>
  <c r="J15" i="1"/>
  <c r="K15" i="1" s="1"/>
  <c r="H9" i="1"/>
  <c r="K9" i="1" s="1"/>
  <c r="J7" i="1"/>
  <c r="K8" i="1"/>
  <c r="I9" i="1"/>
  <c r="H10" i="1"/>
  <c r="J8" i="1"/>
  <c r="H8" i="1"/>
  <c r="H7" i="1"/>
  <c r="K7" i="1" s="1"/>
  <c r="J12" i="1"/>
  <c r="K10" i="1"/>
  <c r="H14" i="1"/>
  <c r="I12" i="1"/>
  <c r="K12" i="1" s="1"/>
  <c r="J14" i="1"/>
  <c r="J13" i="1"/>
  <c r="I13" i="1"/>
  <c r="K13" i="1" s="1"/>
  <c r="J11" i="1"/>
  <c r="K11" i="1" s="1"/>
  <c r="K14" i="1" l="1"/>
</calcChain>
</file>

<file path=xl/sharedStrings.xml><?xml version="1.0" encoding="utf-8"?>
<sst xmlns="http://schemas.openxmlformats.org/spreadsheetml/2006/main" count="36" uniqueCount="36">
  <si>
    <t xml:space="preserve">Item code </t>
  </si>
  <si>
    <t>Customer Name</t>
  </si>
  <si>
    <t xml:space="preserve">Product </t>
  </si>
  <si>
    <t>Rate</t>
  </si>
  <si>
    <t>Qty</t>
  </si>
  <si>
    <t xml:space="preserve">Amount </t>
  </si>
  <si>
    <t>Tax 2%</t>
  </si>
  <si>
    <t>Vat 13%</t>
  </si>
  <si>
    <t>Discount 5%</t>
  </si>
  <si>
    <t xml:space="preserve">Total Amount </t>
  </si>
  <si>
    <t>samix</t>
  </si>
  <si>
    <t>Suraj</t>
  </si>
  <si>
    <t>Sukarat</t>
  </si>
  <si>
    <t>Pramod</t>
  </si>
  <si>
    <t>Pranita</t>
  </si>
  <si>
    <t>Dinesh</t>
  </si>
  <si>
    <t>Kapil</t>
  </si>
  <si>
    <t>Anil</t>
  </si>
  <si>
    <t>Sunil</t>
  </si>
  <si>
    <t>Ganesh</t>
  </si>
  <si>
    <t>Computer</t>
  </si>
  <si>
    <t>Mouse</t>
  </si>
  <si>
    <t>Laptop</t>
  </si>
  <si>
    <t>Mobile</t>
  </si>
  <si>
    <t>Keyboard</t>
  </si>
  <si>
    <t>Monitor</t>
  </si>
  <si>
    <t>harddisk</t>
  </si>
  <si>
    <t>Ram</t>
  </si>
  <si>
    <t>Mother board</t>
  </si>
  <si>
    <t xml:space="preserve">Pen drive </t>
  </si>
  <si>
    <t>Used Formula:</t>
  </si>
  <si>
    <t xml:space="preserve">Amount :=E6*F6  </t>
  </si>
  <si>
    <t xml:space="preserve">Tax 2% :  =G6*2% </t>
  </si>
  <si>
    <t xml:space="preserve">Discount 5% : =G6*5/100 </t>
  </si>
  <si>
    <t xml:space="preserve">Total Amount :   =G6+H6+I6-J6  </t>
  </si>
  <si>
    <t>Vat 13% :  =G6*13/100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</si>
</sst>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68580</xdr:colOff>
      <xdr:row>0</xdr:row>
      <xdr:rowOff>7620</xdr:rowOff>
    </xdr:from>
    <xdr:ext cx="5319854" cy="593304"/>
    <xdr:sp macro="" textlink="">
      <xdr:nvSpPr>
        <xdr:cNvPr id="2" name="TextBox 1"/>
        <xdr:cNvSpPr txBox="1"/>
      </xdr:nvSpPr>
      <xdr:spPr>
        <a:xfrm>
          <a:off x="1287780" y="7620"/>
          <a:ext cx="531985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n-US" sz="3200" u="sng"/>
            <a:t>Purchase Data Reports in Excel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K6" sqref="K6"/>
    </sheetView>
  </sheetViews>
  <sheetFormatPr defaultRowHeight="14.4" x14ac:dyDescent="0.3"/>
  <cols>
    <col min="2" max="2" width="11.77734375" customWidth="1"/>
    <col min="3" max="3" width="17.33203125" customWidth="1"/>
    <col min="4" max="4" width="10.6640625" customWidth="1"/>
    <col min="5" max="5" width="9.77734375" customWidth="1"/>
    <col min="6" max="6" width="9.109375" bestFit="1" customWidth="1"/>
    <col min="7" max="7" width="12.109375" bestFit="1" customWidth="1"/>
    <col min="8" max="8" width="9.109375" bestFit="1" customWidth="1"/>
    <col min="9" max="9" width="14.109375" customWidth="1"/>
    <col min="10" max="10" width="13.5546875" customWidth="1"/>
    <col min="11" max="11" width="12.6640625" customWidth="1"/>
    <col min="12" max="12" width="12.3320312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5.6" x14ac:dyDescent="0.3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</row>
    <row r="6" spans="1:11" ht="15.6" x14ac:dyDescent="0.3">
      <c r="B6" s="3">
        <v>20011</v>
      </c>
      <c r="C6" s="3" t="s">
        <v>10</v>
      </c>
      <c r="D6" s="3" t="s">
        <v>20</v>
      </c>
      <c r="E6" s="3">
        <v>30000</v>
      </c>
      <c r="F6" s="3">
        <v>10</v>
      </c>
      <c r="G6" s="3">
        <f>E6*F6</f>
        <v>300000</v>
      </c>
      <c r="H6" s="3">
        <f>G6*2%</f>
        <v>6000</v>
      </c>
      <c r="I6" s="3">
        <f>G6*13/100</f>
        <v>39000</v>
      </c>
      <c r="J6" s="3">
        <f>G6*5/100</f>
        <v>15000</v>
      </c>
      <c r="K6" s="3">
        <f>G6+H6+I6-J6</f>
        <v>330000</v>
      </c>
    </row>
    <row r="7" spans="1:11" ht="15.6" x14ac:dyDescent="0.3">
      <c r="B7" s="3">
        <v>20012</v>
      </c>
      <c r="C7" s="3" t="s">
        <v>11</v>
      </c>
      <c r="D7" s="3" t="s">
        <v>22</v>
      </c>
      <c r="E7" s="3">
        <v>90000</v>
      </c>
      <c r="F7" s="3">
        <v>13</v>
      </c>
      <c r="G7" s="3">
        <f t="shared" ref="G7:G15" si="0">E7*F7</f>
        <v>1170000</v>
      </c>
      <c r="H7" s="3">
        <f t="shared" ref="H7:H15" si="1">G7*2%</f>
        <v>23400</v>
      </c>
      <c r="I7" s="3">
        <f t="shared" ref="I7:I15" si="2">G7*13/100</f>
        <v>152100</v>
      </c>
      <c r="J7" s="3">
        <f t="shared" ref="J7:J15" si="3">G7*5/100</f>
        <v>58500</v>
      </c>
      <c r="K7" s="3">
        <f t="shared" ref="K7:K15" si="4">G7+H7+I7-J7</f>
        <v>1287000</v>
      </c>
    </row>
    <row r="8" spans="1:11" ht="15.6" x14ac:dyDescent="0.3">
      <c r="B8" s="3">
        <v>20013</v>
      </c>
      <c r="C8" s="3" t="s">
        <v>12</v>
      </c>
      <c r="D8" s="3" t="s">
        <v>23</v>
      </c>
      <c r="E8" s="3">
        <v>20000</v>
      </c>
      <c r="F8" s="3">
        <v>20</v>
      </c>
      <c r="G8" s="3">
        <f t="shared" si="0"/>
        <v>400000</v>
      </c>
      <c r="H8" s="3">
        <f t="shared" si="1"/>
        <v>8000</v>
      </c>
      <c r="I8" s="3">
        <f t="shared" si="2"/>
        <v>52000</v>
      </c>
      <c r="J8" s="3">
        <f t="shared" si="3"/>
        <v>20000</v>
      </c>
      <c r="K8" s="3">
        <f t="shared" si="4"/>
        <v>440000</v>
      </c>
    </row>
    <row r="9" spans="1:11" ht="15.6" x14ac:dyDescent="0.3">
      <c r="B9" s="3">
        <v>20014</v>
      </c>
      <c r="C9" s="3" t="s">
        <v>13</v>
      </c>
      <c r="D9" s="3" t="s">
        <v>21</v>
      </c>
      <c r="E9" s="3">
        <v>500</v>
      </c>
      <c r="F9" s="3">
        <v>8</v>
      </c>
      <c r="G9" s="3">
        <f t="shared" si="0"/>
        <v>4000</v>
      </c>
      <c r="H9" s="3">
        <f t="shared" si="1"/>
        <v>80</v>
      </c>
      <c r="I9" s="3">
        <f t="shared" si="2"/>
        <v>520</v>
      </c>
      <c r="J9" s="3">
        <f t="shared" si="3"/>
        <v>200</v>
      </c>
      <c r="K9" s="3">
        <f t="shared" si="4"/>
        <v>4400</v>
      </c>
    </row>
    <row r="10" spans="1:11" ht="15.6" x14ac:dyDescent="0.3">
      <c r="B10" s="3">
        <v>20015</v>
      </c>
      <c r="C10" s="3" t="s">
        <v>14</v>
      </c>
      <c r="D10" s="3" t="s">
        <v>24</v>
      </c>
      <c r="E10" s="3">
        <v>500</v>
      </c>
      <c r="F10" s="3">
        <v>9</v>
      </c>
      <c r="G10" s="3">
        <f t="shared" si="0"/>
        <v>4500</v>
      </c>
      <c r="H10" s="3">
        <f t="shared" si="1"/>
        <v>90</v>
      </c>
      <c r="I10" s="3">
        <f t="shared" si="2"/>
        <v>585</v>
      </c>
      <c r="J10" s="3">
        <f t="shared" si="3"/>
        <v>225</v>
      </c>
      <c r="K10" s="3">
        <f t="shared" si="4"/>
        <v>4950</v>
      </c>
    </row>
    <row r="11" spans="1:11" ht="15.6" x14ac:dyDescent="0.3">
      <c r="B11" s="3">
        <v>20016</v>
      </c>
      <c r="C11" s="3" t="s">
        <v>15</v>
      </c>
      <c r="D11" s="3" t="s">
        <v>25</v>
      </c>
      <c r="E11" s="3">
        <v>5000</v>
      </c>
      <c r="F11" s="3">
        <v>20</v>
      </c>
      <c r="G11" s="3">
        <f t="shared" si="0"/>
        <v>100000</v>
      </c>
      <c r="H11" s="3">
        <f t="shared" si="1"/>
        <v>2000</v>
      </c>
      <c r="I11" s="3">
        <f t="shared" si="2"/>
        <v>13000</v>
      </c>
      <c r="J11" s="3">
        <f t="shared" si="3"/>
        <v>5000</v>
      </c>
      <c r="K11" s="3">
        <f t="shared" si="4"/>
        <v>110000</v>
      </c>
    </row>
    <row r="12" spans="1:11" ht="15.6" x14ac:dyDescent="0.3">
      <c r="B12" s="3">
        <v>20017</v>
      </c>
      <c r="C12" s="3" t="s">
        <v>16</v>
      </c>
      <c r="D12" s="3" t="s">
        <v>26</v>
      </c>
      <c r="E12" s="3">
        <v>3000</v>
      </c>
      <c r="F12" s="3">
        <v>30</v>
      </c>
      <c r="G12" s="3">
        <f t="shared" si="0"/>
        <v>90000</v>
      </c>
      <c r="H12" s="3">
        <f t="shared" si="1"/>
        <v>1800</v>
      </c>
      <c r="I12" s="3">
        <f t="shared" si="2"/>
        <v>11700</v>
      </c>
      <c r="J12" s="3">
        <f t="shared" si="3"/>
        <v>4500</v>
      </c>
      <c r="K12" s="3">
        <f t="shared" si="4"/>
        <v>99000</v>
      </c>
    </row>
    <row r="13" spans="1:11" ht="15.6" x14ac:dyDescent="0.3">
      <c r="B13" s="3">
        <v>20018</v>
      </c>
      <c r="C13" s="3" t="s">
        <v>17</v>
      </c>
      <c r="D13" s="3" t="s">
        <v>27</v>
      </c>
      <c r="E13" s="3">
        <v>2000</v>
      </c>
      <c r="F13" s="3">
        <v>20</v>
      </c>
      <c r="G13" s="3">
        <f t="shared" si="0"/>
        <v>40000</v>
      </c>
      <c r="H13" s="3">
        <f t="shared" si="1"/>
        <v>800</v>
      </c>
      <c r="I13" s="3">
        <f t="shared" si="2"/>
        <v>5200</v>
      </c>
      <c r="J13" s="3">
        <f t="shared" si="3"/>
        <v>2000</v>
      </c>
      <c r="K13" s="3">
        <f t="shared" si="4"/>
        <v>44000</v>
      </c>
    </row>
    <row r="14" spans="1:11" ht="15.6" x14ac:dyDescent="0.3">
      <c r="B14" s="3">
        <v>20019</v>
      </c>
      <c r="C14" s="3" t="s">
        <v>18</v>
      </c>
      <c r="D14" s="3" t="s">
        <v>28</v>
      </c>
      <c r="E14" s="3">
        <v>4000</v>
      </c>
      <c r="F14" s="3">
        <v>30</v>
      </c>
      <c r="G14" s="3">
        <f t="shared" si="0"/>
        <v>120000</v>
      </c>
      <c r="H14" s="3">
        <f t="shared" si="1"/>
        <v>2400</v>
      </c>
      <c r="I14" s="3">
        <f t="shared" si="2"/>
        <v>15600</v>
      </c>
      <c r="J14" s="3">
        <f t="shared" si="3"/>
        <v>6000</v>
      </c>
      <c r="K14" s="3">
        <f t="shared" si="4"/>
        <v>132000</v>
      </c>
    </row>
    <row r="15" spans="1:11" ht="15.6" x14ac:dyDescent="0.3">
      <c r="B15" s="3">
        <v>20020</v>
      </c>
      <c r="C15" s="3" t="s">
        <v>19</v>
      </c>
      <c r="D15" s="3" t="s">
        <v>29</v>
      </c>
      <c r="E15" s="3">
        <v>1000</v>
      </c>
      <c r="F15" s="3">
        <v>15</v>
      </c>
      <c r="G15" s="3">
        <f t="shared" si="0"/>
        <v>15000</v>
      </c>
      <c r="H15" s="3">
        <f t="shared" si="1"/>
        <v>300</v>
      </c>
      <c r="I15" s="3">
        <f t="shared" si="2"/>
        <v>1950</v>
      </c>
      <c r="J15" s="3">
        <f t="shared" si="3"/>
        <v>750</v>
      </c>
      <c r="K15" s="3">
        <f t="shared" si="4"/>
        <v>16500</v>
      </c>
    </row>
    <row r="19" spans="4:7" ht="23.4" x14ac:dyDescent="0.45">
      <c r="D19" s="7"/>
      <c r="E19" s="8" t="s">
        <v>30</v>
      </c>
      <c r="F19" s="9"/>
    </row>
    <row r="20" spans="4:7" ht="18" x14ac:dyDescent="0.35">
      <c r="D20" s="6">
        <v>1</v>
      </c>
      <c r="E20" s="5" t="s">
        <v>31</v>
      </c>
      <c r="F20" s="5"/>
      <c r="G20" s="6"/>
    </row>
    <row r="21" spans="4:7" ht="18" x14ac:dyDescent="0.35">
      <c r="D21" s="6">
        <v>2</v>
      </c>
      <c r="E21" s="5" t="s">
        <v>32</v>
      </c>
      <c r="F21" s="5"/>
      <c r="G21" s="6"/>
    </row>
    <row r="22" spans="4:7" ht="18" x14ac:dyDescent="0.35">
      <c r="D22" s="6">
        <v>3</v>
      </c>
      <c r="E22" s="5" t="s">
        <v>35</v>
      </c>
      <c r="F22" s="5"/>
      <c r="G22" s="5"/>
    </row>
    <row r="23" spans="4:7" ht="18" x14ac:dyDescent="0.35">
      <c r="D23" s="6">
        <v>4</v>
      </c>
      <c r="E23" s="5" t="s">
        <v>33</v>
      </c>
      <c r="F23" s="5"/>
      <c r="G23" s="6"/>
    </row>
    <row r="24" spans="4:7" ht="18" x14ac:dyDescent="0.35">
      <c r="D24" s="6">
        <v>5</v>
      </c>
      <c r="E24" s="5" t="s">
        <v>34</v>
      </c>
      <c r="F24" s="6"/>
      <c r="G24" s="6"/>
    </row>
  </sheetData>
  <mergeCells count="1">
    <mergeCell ref="B1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COMPUTER SYSTEM</dc:creator>
  <cp:lastModifiedBy>STAR COMPUTER SYSTEM</cp:lastModifiedBy>
  <dcterms:created xsi:type="dcterms:W3CDTF">2025-03-02T15:55:47Z</dcterms:created>
  <dcterms:modified xsi:type="dcterms:W3CDTF">2025-03-03T06:20:23Z</dcterms:modified>
</cp:coreProperties>
</file>